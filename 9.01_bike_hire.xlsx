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mbridgeorg.sharepoint.com/sites/ASALIT3rdEdition-Development/Shared Documents/Development/01. Coursebook/05. Final ms for Acceptance/Source files_amended for 3rd ed/Chapter 9/"/>
    </mc:Choice>
  </mc:AlternateContent>
  <xr:revisionPtr revIDLastSave="5" documentId="13_ncr:1_{4AC6CF63-91E0-43E1-B29A-4CFB2E62F399}" xr6:coauthVersionLast="47" xr6:coauthVersionMax="47" xr10:uidLastSave="{D4B69610-F810-4DCA-A0B9-B5952AC98E3A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L6" i="1" s="1"/>
  <c r="L9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L5" i="1" l="1"/>
  <c r="L8" i="1" s="1"/>
  <c r="L10" i="1" s="1"/>
  <c r="H16" i="1"/>
  <c r="L12" i="1" l="1"/>
</calcChain>
</file>

<file path=xl/sharedStrings.xml><?xml version="1.0" encoding="utf-8"?>
<sst xmlns="http://schemas.openxmlformats.org/spreadsheetml/2006/main" count="58" uniqueCount="32">
  <si>
    <t>Height type</t>
  </si>
  <si>
    <t>Type of Bike</t>
  </si>
  <si>
    <t>Price per Day</t>
  </si>
  <si>
    <t>Quantity Available</t>
  </si>
  <si>
    <t>Quantity Booked</t>
  </si>
  <si>
    <t>Income</t>
  </si>
  <si>
    <t>Short</t>
  </si>
  <si>
    <t>Male</t>
  </si>
  <si>
    <t>Mountain</t>
  </si>
  <si>
    <t>Intermediate Staff Required</t>
  </si>
  <si>
    <t>Tall</t>
  </si>
  <si>
    <t>Junior Staff Required</t>
  </si>
  <si>
    <t>Female</t>
  </si>
  <si>
    <t>Cost of Intermediate Staff</t>
  </si>
  <si>
    <t>Racer</t>
  </si>
  <si>
    <t>Cost of Junior Staff</t>
  </si>
  <si>
    <t>Total Cost of Staff</t>
  </si>
  <si>
    <t>Profit</t>
  </si>
  <si>
    <t>N/A</t>
  </si>
  <si>
    <t>Tandem</t>
  </si>
  <si>
    <t>Trailer</t>
  </si>
  <si>
    <t>Cost of bike hire</t>
  </si>
  <si>
    <t>Staff Hourly Rates</t>
  </si>
  <si>
    <t>Staff Requirements</t>
  </si>
  <si>
    <t>Type</t>
  </si>
  <si>
    <t>Per Day</t>
  </si>
  <si>
    <t>Intermediate</t>
  </si>
  <si>
    <t>Junior</t>
  </si>
  <si>
    <t>Min Bikes</t>
  </si>
  <si>
    <t>Max Bikes</t>
  </si>
  <si>
    <t>Rider</t>
  </si>
  <si>
    <t>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</si>
</sst>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44" fontId="0" fillId="0" borderId="0" xfId="1" applyFont="1"/>
    <xf numFmtId="44" fontId="0" fillId="0" borderId="0" xfId="0" applyNumberFormat="1"/>
    <xf numFmtId="1" fontId="0" fillId="0" borderId="0" xfId="1" applyNumberFormat="1" applyFont="1"/>
    <xf numFmtId="44" fontId="0" fillId="2" borderId="0" xfId="1" applyFont="1" applyFill="1"/>
    <xf numFmtId="44" fontId="0" fillId="3" borderId="0" xfId="0" applyNumberFormat="1" applyFill="1"/>
    <xf numFmtId="0" fontId="1" fillId="2" borderId="0" xfId="0" applyFont="1" applyFill="1" applyAlignment="1">
      <alignment horizontal="right"/>
    </xf>
    <xf numFmtId="0" fontId="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30"/>
  <sheetViews>
    <sheetView tabSelected="1" zoomScale="175" zoomScaleNormal="175" workbookViewId="0">
      <selection activeCell="C14" sqref="C14"/>
    </sheetView>
  </sheetViews>
  <sheetFormatPr defaultRowHeight="12.75" x14ac:dyDescent="0.2"/>
  <cols>
    <col min="1" max="1" width="1" customWidth="1"/>
    <col min="2" max="2" width="15.85546875" bestFit="1" customWidth="1"/>
    <col min="3" max="3" width="8.140625" bestFit="1" customWidth="1"/>
    <col min="4" max="4" width="8.5703125" bestFit="1" customWidth="1"/>
    <col min="5" max="5" width="17.42578125" bestFit="1" customWidth="1"/>
    <col min="6" max="6" width="9.5703125" bestFit="1" customWidth="1"/>
    <col min="7" max="7" width="9.7109375" customWidth="1"/>
    <col min="8" max="8" width="18.5703125" bestFit="1" customWidth="1"/>
    <col min="9" max="9" width="10.28515625" bestFit="1" customWidth="1"/>
    <col min="10" max="10" width="23.7109375" bestFit="1" customWidth="1"/>
    <col min="11" max="11" width="6.7109375" bestFit="1" customWidth="1"/>
    <col min="12" max="12" width="13" customWidth="1"/>
    <col min="13" max="13" width="10.28515625" bestFit="1" customWidth="1"/>
  </cols>
  <sheetData>
    <row r="4" spans="2:13" s="1" customFormat="1" ht="25.5" x14ac:dyDescent="0.2">
      <c r="B4" s="2" t="s">
        <v>0</v>
      </c>
      <c r="C4" s="2" t="s">
        <v>30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/>
      <c r="J4" s="2"/>
      <c r="K4" s="2"/>
      <c r="L4" s="2"/>
      <c r="M4" s="2"/>
    </row>
    <row r="5" spans="2:13" x14ac:dyDescent="0.2">
      <c r="B5" t="s">
        <v>6</v>
      </c>
      <c r="C5" t="s">
        <v>7</v>
      </c>
      <c r="D5" t="s">
        <v>8</v>
      </c>
      <c r="E5" s="4">
        <f>VLOOKUP(D5,B$21:C$24,2,FALSE)</f>
        <v>15</v>
      </c>
      <c r="F5">
        <v>70</v>
      </c>
      <c r="G5" s="9">
        <v>35</v>
      </c>
      <c r="H5" s="4">
        <f t="shared" ref="H5:H14" si="0">E5*G5</f>
        <v>525</v>
      </c>
      <c r="I5" s="4"/>
      <c r="J5" t="s">
        <v>9</v>
      </c>
      <c r="L5">
        <f>VLOOKUP(G16,H21:K30,3)</f>
        <v>3</v>
      </c>
    </row>
    <row r="6" spans="2:13" x14ac:dyDescent="0.2">
      <c r="B6" t="s">
        <v>10</v>
      </c>
      <c r="C6" t="s">
        <v>7</v>
      </c>
      <c r="D6" t="s">
        <v>8</v>
      </c>
      <c r="E6" s="4">
        <f t="shared" ref="E6:E14" si="1">VLOOKUP(D6,B$21:C$24,2,FALSE)</f>
        <v>15</v>
      </c>
      <c r="F6">
        <v>65</v>
      </c>
      <c r="G6" s="9">
        <v>53</v>
      </c>
      <c r="H6" s="4">
        <f t="shared" si="0"/>
        <v>795</v>
      </c>
      <c r="I6" s="4"/>
      <c r="J6" t="s">
        <v>11</v>
      </c>
      <c r="L6">
        <f>VLOOKUP(G16,H21:K30,4)</f>
        <v>4</v>
      </c>
    </row>
    <row r="7" spans="2:13" x14ac:dyDescent="0.2">
      <c r="B7" t="s">
        <v>6</v>
      </c>
      <c r="C7" t="s">
        <v>12</v>
      </c>
      <c r="D7" t="s">
        <v>8</v>
      </c>
      <c r="E7" s="4">
        <f t="shared" si="1"/>
        <v>15</v>
      </c>
      <c r="F7">
        <v>60</v>
      </c>
      <c r="G7" s="9">
        <v>27</v>
      </c>
      <c r="H7" s="4">
        <f t="shared" si="0"/>
        <v>405</v>
      </c>
      <c r="I7" s="4"/>
    </row>
    <row r="8" spans="2:13" x14ac:dyDescent="0.2">
      <c r="B8" t="s">
        <v>10</v>
      </c>
      <c r="C8" t="s">
        <v>12</v>
      </c>
      <c r="D8" t="s">
        <v>8</v>
      </c>
      <c r="E8" s="4">
        <f t="shared" si="1"/>
        <v>15</v>
      </c>
      <c r="F8">
        <v>55</v>
      </c>
      <c r="G8" s="9">
        <v>14</v>
      </c>
      <c r="H8" s="4">
        <f t="shared" si="0"/>
        <v>210</v>
      </c>
      <c r="I8" s="4"/>
      <c r="J8" t="s">
        <v>13</v>
      </c>
      <c r="L8" s="5">
        <f>L5*E21*9</f>
        <v>418.5</v>
      </c>
    </row>
    <row r="9" spans="2:13" x14ac:dyDescent="0.2">
      <c r="B9" t="s">
        <v>6</v>
      </c>
      <c r="C9" t="s">
        <v>7</v>
      </c>
      <c r="D9" t="s">
        <v>14</v>
      </c>
      <c r="E9" s="4">
        <f t="shared" si="1"/>
        <v>18</v>
      </c>
      <c r="F9">
        <v>15</v>
      </c>
      <c r="G9" s="9">
        <v>9</v>
      </c>
      <c r="H9" s="4">
        <f t="shared" si="0"/>
        <v>162</v>
      </c>
      <c r="I9" s="4"/>
      <c r="J9" t="s">
        <v>15</v>
      </c>
      <c r="L9" s="5">
        <f>L6*F21*5</f>
        <v>210</v>
      </c>
    </row>
    <row r="10" spans="2:13" x14ac:dyDescent="0.2">
      <c r="B10" t="s">
        <v>10</v>
      </c>
      <c r="C10" t="s">
        <v>7</v>
      </c>
      <c r="D10" t="s">
        <v>14</v>
      </c>
      <c r="E10" s="4">
        <f t="shared" si="1"/>
        <v>18</v>
      </c>
      <c r="F10">
        <v>15</v>
      </c>
      <c r="G10" s="9">
        <v>8</v>
      </c>
      <c r="H10" s="4">
        <f t="shared" si="0"/>
        <v>144</v>
      </c>
      <c r="I10" s="4"/>
      <c r="J10" t="s">
        <v>16</v>
      </c>
      <c r="L10" s="5">
        <f>L8+L9</f>
        <v>628.5</v>
      </c>
    </row>
    <row r="11" spans="2:13" x14ac:dyDescent="0.2">
      <c r="B11" t="s">
        <v>6</v>
      </c>
      <c r="C11" t="s">
        <v>12</v>
      </c>
      <c r="D11" t="s">
        <v>14</v>
      </c>
      <c r="E11" s="4">
        <f t="shared" si="1"/>
        <v>18</v>
      </c>
      <c r="F11">
        <v>15</v>
      </c>
      <c r="G11" s="9">
        <v>7</v>
      </c>
      <c r="H11" s="4">
        <f t="shared" si="0"/>
        <v>126</v>
      </c>
      <c r="I11" s="4"/>
    </row>
    <row r="12" spans="2:13" x14ac:dyDescent="0.2">
      <c r="B12" t="s">
        <v>10</v>
      </c>
      <c r="C12" t="s">
        <v>12</v>
      </c>
      <c r="D12" t="s">
        <v>14</v>
      </c>
      <c r="E12" s="4">
        <f t="shared" si="1"/>
        <v>18</v>
      </c>
      <c r="F12">
        <v>15</v>
      </c>
      <c r="G12" s="9">
        <v>9</v>
      </c>
      <c r="H12" s="4">
        <f t="shared" si="0"/>
        <v>162</v>
      </c>
      <c r="I12" s="4"/>
      <c r="J12" t="s">
        <v>17</v>
      </c>
      <c r="L12" s="8">
        <f>H16-L10</f>
        <v>2040.5</v>
      </c>
    </row>
    <row r="13" spans="2:13" x14ac:dyDescent="0.2">
      <c r="B13" t="s">
        <v>18</v>
      </c>
      <c r="C13" s="10" t="s">
        <v>31</v>
      </c>
      <c r="D13" t="s">
        <v>19</v>
      </c>
      <c r="E13" s="4">
        <f t="shared" si="1"/>
        <v>25</v>
      </c>
      <c r="F13">
        <v>10</v>
      </c>
      <c r="G13" s="9">
        <v>4</v>
      </c>
      <c r="H13" s="4">
        <f t="shared" si="0"/>
        <v>100</v>
      </c>
      <c r="I13" s="4"/>
    </row>
    <row r="14" spans="2:13" x14ac:dyDescent="0.2">
      <c r="B14" t="s">
        <v>18</v>
      </c>
      <c r="C14" t="s">
        <v>31</v>
      </c>
      <c r="D14" t="s">
        <v>20</v>
      </c>
      <c r="E14" s="4">
        <f t="shared" si="1"/>
        <v>8</v>
      </c>
      <c r="F14">
        <v>10</v>
      </c>
      <c r="G14" s="9">
        <v>5</v>
      </c>
      <c r="H14" s="4">
        <f t="shared" si="0"/>
        <v>40</v>
      </c>
      <c r="I14" s="4"/>
    </row>
    <row r="16" spans="2:13" x14ac:dyDescent="0.2">
      <c r="G16">
        <f>SUM(G5:G14)</f>
        <v>171</v>
      </c>
      <c r="H16" s="4">
        <f>SUM(H5:H14)</f>
        <v>2669</v>
      </c>
      <c r="I16" s="4"/>
      <c r="L16" s="5"/>
      <c r="M16" s="5"/>
    </row>
    <row r="19" spans="2:11" x14ac:dyDescent="0.2">
      <c r="B19" s="3" t="s">
        <v>21</v>
      </c>
      <c r="E19" s="3" t="s">
        <v>22</v>
      </c>
      <c r="H19" s="3" t="s">
        <v>23</v>
      </c>
      <c r="I19" s="3"/>
      <c r="J19" s="3"/>
      <c r="K19" s="3"/>
    </row>
    <row r="20" spans="2:11" x14ac:dyDescent="0.2">
      <c r="B20" s="3" t="s">
        <v>24</v>
      </c>
      <c r="C20" s="3" t="s">
        <v>25</v>
      </c>
      <c r="D20" s="3"/>
      <c r="E20" s="3" t="s">
        <v>26</v>
      </c>
      <c r="F20" s="3" t="s">
        <v>27</v>
      </c>
      <c r="H20" s="3" t="s">
        <v>28</v>
      </c>
      <c r="I20" s="3" t="s">
        <v>29</v>
      </c>
      <c r="J20" s="3" t="s">
        <v>26</v>
      </c>
      <c r="K20" s="3" t="s">
        <v>27</v>
      </c>
    </row>
    <row r="21" spans="2:11" x14ac:dyDescent="0.2">
      <c r="B21" t="s">
        <v>8</v>
      </c>
      <c r="C21" s="7">
        <v>15</v>
      </c>
      <c r="D21" s="4"/>
      <c r="E21" s="7">
        <v>15.5</v>
      </c>
      <c r="F21" s="7">
        <v>10.5</v>
      </c>
      <c r="H21">
        <v>1</v>
      </c>
      <c r="I21" s="6">
        <v>10</v>
      </c>
      <c r="J21">
        <v>1</v>
      </c>
      <c r="K21">
        <v>0</v>
      </c>
    </row>
    <row r="22" spans="2:11" x14ac:dyDescent="0.2">
      <c r="B22" t="s">
        <v>14</v>
      </c>
      <c r="C22" s="7">
        <v>18</v>
      </c>
      <c r="D22" s="4"/>
      <c r="H22">
        <v>11</v>
      </c>
      <c r="I22" s="6">
        <v>30</v>
      </c>
      <c r="J22">
        <v>1</v>
      </c>
      <c r="K22">
        <v>1</v>
      </c>
    </row>
    <row r="23" spans="2:11" x14ac:dyDescent="0.2">
      <c r="B23" t="s">
        <v>19</v>
      </c>
      <c r="C23" s="7">
        <v>25</v>
      </c>
      <c r="D23" s="4"/>
      <c r="H23">
        <v>31</v>
      </c>
      <c r="I23" s="6">
        <v>50</v>
      </c>
      <c r="J23">
        <v>2</v>
      </c>
      <c r="K23">
        <v>1</v>
      </c>
    </row>
    <row r="24" spans="2:11" x14ac:dyDescent="0.2">
      <c r="B24" t="s">
        <v>20</v>
      </c>
      <c r="C24" s="7">
        <v>8</v>
      </c>
      <c r="D24" s="4"/>
      <c r="H24">
        <v>51</v>
      </c>
      <c r="I24" s="6">
        <v>90</v>
      </c>
      <c r="J24">
        <v>2</v>
      </c>
      <c r="K24">
        <v>2</v>
      </c>
    </row>
    <row r="25" spans="2:11" x14ac:dyDescent="0.2">
      <c r="H25">
        <v>91</v>
      </c>
      <c r="I25" s="6">
        <v>130</v>
      </c>
      <c r="J25">
        <v>2</v>
      </c>
      <c r="K25">
        <v>3</v>
      </c>
    </row>
    <row r="26" spans="2:11" x14ac:dyDescent="0.2">
      <c r="H26">
        <v>131</v>
      </c>
      <c r="I26" s="6">
        <v>170</v>
      </c>
      <c r="J26">
        <v>2</v>
      </c>
      <c r="K26">
        <v>4</v>
      </c>
    </row>
    <row r="27" spans="2:11" x14ac:dyDescent="0.2">
      <c r="H27">
        <v>171</v>
      </c>
      <c r="I27" s="6">
        <v>210</v>
      </c>
      <c r="J27">
        <v>3</v>
      </c>
      <c r="K27">
        <v>4</v>
      </c>
    </row>
    <row r="28" spans="2:11" x14ac:dyDescent="0.2">
      <c r="H28">
        <v>211</v>
      </c>
      <c r="I28" s="6">
        <v>250</v>
      </c>
      <c r="J28">
        <v>3</v>
      </c>
      <c r="K28">
        <v>5</v>
      </c>
    </row>
    <row r="29" spans="2:11" x14ac:dyDescent="0.2">
      <c r="H29">
        <v>251</v>
      </c>
      <c r="I29" s="6">
        <v>290</v>
      </c>
      <c r="J29">
        <v>3</v>
      </c>
      <c r="K29">
        <v>6</v>
      </c>
    </row>
    <row r="30" spans="2:11" x14ac:dyDescent="0.2">
      <c r="H30">
        <v>291</v>
      </c>
      <c r="I30" s="6">
        <v>330</v>
      </c>
      <c r="J30">
        <v>3</v>
      </c>
      <c r="K30">
        <v>7</v>
      </c>
    </row>
  </sheetData>
  <phoneticPr fontId="3" type="noConversion"/>
  <dataValidations xWindow="689" yWindow="384" count="3">
    <dataValidation type="whole" operator="lessThanOrEqual" allowBlank="1" showInputMessage="1" showErrorMessage="1" errorTitle="Invalid Quantity" error="Quantity booked must be numeric and must not exceed the quantity available." promptTitle="Enter Quantity Booked" prompt="Enter number of bikes booked" sqref="G5:G14" xr:uid="{00000000-0002-0000-0000-000000000000}">
      <formula1>F5</formula1>
    </dataValidation>
    <dataValidation type="whole" allowBlank="1" showInputMessage="1" showErrorMessage="1" errorTitle="Invalid cost per day" error="Only enter whole numbers between 1 and 100." promptTitle="Cost per day" prompt="Enter cost per day for hire" sqref="C21:C24" xr:uid="{00000000-0002-0000-0000-000001000000}">
      <formula1>0</formula1>
      <formula2>100</formula2>
    </dataValidation>
    <dataValidation type="decimal" allowBlank="1" showInputMessage="1" showErrorMessage="1" errorTitle="Invalid hourly rate" error="Enter an hourly rate less than 100." promptTitle="Enter hourly rate" prompt="Enter hourly rate" sqref="E21:F21" xr:uid="{00000000-0002-0000-0000-000002000000}">
      <formula1>0</formula1>
      <formula2>100</formula2>
    </dataValidation>
  </dataValidation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15DE77645384B820A2DFA88094414" ma:contentTypeVersion="18" ma:contentTypeDescription="Create a new document." ma:contentTypeScope="" ma:versionID="d13acd34d0120d4b60dd4de6bed117c8">
  <xsd:schema xmlns:xsd="http://www.w3.org/2001/XMLSchema" xmlns:xs="http://www.w3.org/2001/XMLSchema" xmlns:p="http://schemas.microsoft.com/office/2006/metadata/properties" xmlns:ns2="08cb7aaf-6667-41a9-94fc-3b3d769b2978" xmlns:ns3="a90ac319-b2b6-4497-8aeb-2e5c999b6f2c" xmlns:ns4="7424b78e-8606-4fd1-9a19-b6b90bbc0a1b" targetNamespace="http://schemas.microsoft.com/office/2006/metadata/properties" ma:root="true" ma:fieldsID="69b16ab35557f856ae2dcf61b244c39c" ns2:_="" ns3:_="" ns4:_="">
    <xsd:import namespace="08cb7aaf-6667-41a9-94fc-3b3d769b2978"/>
    <xsd:import namespace="a90ac319-b2b6-4497-8aeb-2e5c999b6f2c"/>
    <xsd:import namespace="7424b78e-8606-4fd1-9a19-b6b90bbc0a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b7aaf-6667-41a9-94fc-3b3d769b2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0ac319-b2b6-4497-8aeb-2e5c999b6f2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4b78e-8606-4fd1-9a19-b6b90bbc0a1b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ed5d56c-69e8-498d-8fb4-186f3950e5a9}" ma:internalName="TaxCatchAll" ma:showField="CatchAllData" ma:web="a90ac319-b2b6-4497-8aeb-2e5c999b6f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cb7aaf-6667-41a9-94fc-3b3d769b2978">
      <Terms xmlns="http://schemas.microsoft.com/office/infopath/2007/PartnerControls"/>
    </lcf76f155ced4ddcb4097134ff3c332f>
    <SharedWithUsers xmlns="a90ac319-b2b6-4497-8aeb-2e5c999b6f2c">
      <UserInfo>
        <DisplayName/>
        <AccountId xsi:nil="true"/>
        <AccountType/>
      </UserInfo>
    </SharedWithUsers>
    <MediaLengthInSeconds xmlns="08cb7aaf-6667-41a9-94fc-3b3d769b2978" xsi:nil="true"/>
    <TaxCatchAll xmlns="7424b78e-8606-4fd1-9a19-b6b90bbc0a1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611EAC-E6D4-4684-A663-1E35D0E3B290}"/>
</file>

<file path=customXml/itemProps2.xml><?xml version="1.0" encoding="utf-8"?>
<ds:datastoreItem xmlns:ds="http://schemas.openxmlformats.org/officeDocument/2006/customXml" ds:itemID="{84CB6E30-2985-4529-9CE4-08953724356D}">
  <ds:schemaRefs>
    <ds:schemaRef ds:uri="http://schemas.microsoft.com/office/2006/metadata/properties"/>
    <ds:schemaRef ds:uri="http://schemas.microsoft.com/office/infopath/2007/PartnerControls"/>
    <ds:schemaRef ds:uri="05e095a5-4c3b-428c-a49d-70345f333a47"/>
    <ds:schemaRef ds:uri="e2c7907d-aa18-401e-8715-e478334aead6"/>
    <ds:schemaRef ds:uri="ae8cfa21-1350-4d81-b58b-c3262e803925"/>
  </ds:schemaRefs>
</ds:datastoreItem>
</file>

<file path=customXml/itemProps3.xml><?xml version="1.0" encoding="utf-8"?>
<ds:datastoreItem xmlns:ds="http://schemas.openxmlformats.org/officeDocument/2006/customXml" ds:itemID="{5D21AB4E-CEC9-401B-9C7E-F63B2BB616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St Francis of Assissi R C School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Long</dc:creator>
  <cp:keywords/>
  <dc:description/>
  <cp:lastModifiedBy>Timur Usmanov</cp:lastModifiedBy>
  <cp:revision/>
  <dcterms:created xsi:type="dcterms:W3CDTF">2006-08-12T18:26:34Z</dcterms:created>
  <dcterms:modified xsi:type="dcterms:W3CDTF">2023-09-01T13:38:58Z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0x0101007D515DE77645384B820A2DFA88094414</vt:lpwstr>
  </property>
  <property fmtid="{D5CDD505-2E9C-101B-9397-08002B2CF9AE}" pid="3" name="Order">
    <vt:r8>3332400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TemplateUrl">
    <vt:lpwstr/>
  </property>
</Properties>
</file>